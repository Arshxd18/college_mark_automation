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edarshad/Desktop/CO's Templates/"/>
    </mc:Choice>
  </mc:AlternateContent>
  <xr:revisionPtr revIDLastSave="0" documentId="13_ncr:1_{526795AB-06E5-E54A-BD74-5CD716545195}" xr6:coauthVersionLast="47" xr6:coauthVersionMax="47" xr10:uidLastSave="{00000000-0000-0000-0000-000000000000}"/>
  <bookViews>
    <workbookView xWindow="0" yWindow="660" windowWidth="30240" windowHeight="17680" xr2:uid="{E8323F2F-BE12-A140-9456-E8FB5605DC8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</calcChain>
</file>

<file path=xl/sharedStrings.xml><?xml version="1.0" encoding="utf-8"?>
<sst xmlns="http://schemas.openxmlformats.org/spreadsheetml/2006/main" count="36" uniqueCount="36">
  <si>
    <t>Sl. No</t>
  </si>
  <si>
    <t>ROLL  NO.</t>
  </si>
  <si>
    <t>REG NO.</t>
  </si>
  <si>
    <t>QUESTION NUMBER &gt;&gt;</t>
  </si>
  <si>
    <t>PART A</t>
  </si>
  <si>
    <t>Q. No.1</t>
  </si>
  <si>
    <t>Q. No.2</t>
  </si>
  <si>
    <t>Q. No.3</t>
  </si>
  <si>
    <t>Q. No. 4</t>
  </si>
  <si>
    <t>Q. No. 5</t>
  </si>
  <si>
    <t>Q. No. 6</t>
  </si>
  <si>
    <t>Q. No. 7</t>
  </si>
  <si>
    <t>Q. No. 8</t>
  </si>
  <si>
    <t>Q. No. 9</t>
  </si>
  <si>
    <t>Q. No. 10</t>
  </si>
  <si>
    <t>Q. No. 11</t>
  </si>
  <si>
    <t>Q. No. 12</t>
  </si>
  <si>
    <t>Q. No. 13</t>
  </si>
  <si>
    <t>Q. No. 14</t>
  </si>
  <si>
    <t>Q. No. 15</t>
  </si>
  <si>
    <t>Q. No. 16</t>
  </si>
  <si>
    <t>11.a</t>
  </si>
  <si>
    <t>11.b</t>
  </si>
  <si>
    <t>12.a</t>
  </si>
  <si>
    <t>12.b</t>
  </si>
  <si>
    <t>13.a</t>
  </si>
  <si>
    <t>13.b</t>
  </si>
  <si>
    <t>14.a</t>
  </si>
  <si>
    <t>14.b</t>
  </si>
  <si>
    <t>15 a</t>
  </si>
  <si>
    <t>15 b</t>
  </si>
  <si>
    <t>16.a</t>
  </si>
  <si>
    <t xml:space="preserve">      16.b</t>
  </si>
  <si>
    <t xml:space="preserve">                      MAXIMUM MARK &gt;&gt;</t>
  </si>
  <si>
    <r>
      <t xml:space="preserve">                     </t>
    </r>
    <r>
      <rPr>
        <b/>
        <sz val="14"/>
        <color rgb="FF000000"/>
        <rFont val="Times New Roman"/>
        <family val="1"/>
      </rPr>
      <t>COURSE OUTCOME &gt;&gt;</t>
    </r>
  </si>
  <si>
    <t xml:space="preserve">                        STUDENT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</si>
</sst>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4"/>
      <color theme="3"/>
      <name val="Times New Roman"/>
      <family val="1"/>
    </font>
    <font>
      <b/>
      <sz val="14"/>
      <color theme="1"/>
      <name val="Times New Roman"/>
      <family val="1"/>
    </font>
    <font>
      <sz val="14"/>
      <color theme="2"/>
      <name val="Times New Roman"/>
      <family val="1"/>
    </font>
    <font>
      <b/>
      <sz val="14"/>
      <name val="Times New Roman"/>
      <family val="1"/>
    </font>
    <font>
      <b/>
      <sz val="14"/>
      <color rgb="FF9C0006"/>
      <name val="Times New Roman"/>
      <family val="1"/>
    </font>
    <font>
      <b/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rgb="FFFFC7CE"/>
      </patternFill>
    </fill>
    <fill>
      <patternFill patternType="solid">
        <fgColor theme="5" tint="0.59999389629810485"/>
        <bgColor rgb="FFFFC7CE"/>
      </patternFill>
    </fill>
    <fill>
      <patternFill patternType="solid">
        <fgColor theme="7" tint="-0.249977111117893"/>
        <bgColor theme="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B2A1C7"/>
      </patternFill>
    </fill>
    <fill>
      <patternFill patternType="solid">
        <fgColor theme="6" tint="0.79998168889431442"/>
        <bgColor rgb="FFFFC7CE"/>
      </patternFill>
    </fill>
    <fill>
      <patternFill patternType="solid">
        <fgColor theme="6" tint="0.79998168889431442"/>
        <bgColor rgb="FFFFCC00"/>
      </patternFill>
    </fill>
    <fill>
      <patternFill patternType="solid">
        <fgColor theme="8" tint="0.39997558519241921"/>
        <bgColor rgb="FFFFC7CE"/>
      </patternFill>
    </fill>
    <fill>
      <patternFill patternType="solid">
        <fgColor theme="8" tint="0.39997558519241921"/>
        <bgColor rgb="FF99CCFF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/>
    <xf numFmtId="0" fontId="3" fillId="5" borderId="2" xfId="0" applyFont="1" applyFill="1" applyBorder="1"/>
    <xf numFmtId="0" fontId="3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vertical="center"/>
    </xf>
    <xf numFmtId="1" fontId="1" fillId="6" borderId="2" xfId="0" applyNumberFormat="1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18" fontId="2" fillId="8" borderId="2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vertical="center"/>
    </xf>
    <xf numFmtId="0" fontId="2" fillId="9" borderId="2" xfId="0" applyFont="1" applyFill="1" applyBorder="1" applyAlignment="1">
      <alignment vertical="center"/>
    </xf>
    <xf numFmtId="0" fontId="2" fillId="10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left" vertical="center"/>
    </xf>
    <xf numFmtId="0" fontId="6" fillId="12" borderId="8" xfId="0" applyFont="1" applyFill="1" applyBorder="1" applyAlignment="1">
      <alignment horizontal="center"/>
    </xf>
    <xf numFmtId="0" fontId="2" fillId="13" borderId="9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left" vertical="center" wrapText="1"/>
    </xf>
    <xf numFmtId="0" fontId="1" fillId="6" borderId="8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vertical="center"/>
    </xf>
    <xf numFmtId="1" fontId="1" fillId="6" borderId="8" xfId="0" applyNumberFormat="1" applyFont="1" applyFill="1" applyBorder="1" applyAlignment="1">
      <alignment vertical="center"/>
    </xf>
    <xf numFmtId="0" fontId="2" fillId="6" borderId="8" xfId="0" applyFont="1" applyFill="1" applyBorder="1" applyAlignment="1">
      <alignment vertical="center"/>
    </xf>
    <xf numFmtId="0" fontId="2" fillId="13" borderId="10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1" fontId="7" fillId="14" borderId="1" xfId="0" applyNumberFormat="1" applyFont="1" applyFill="1" applyBorder="1" applyAlignment="1">
      <alignment horizontal="center"/>
    </xf>
    <xf numFmtId="1" fontId="7" fillId="14" borderId="1" xfId="0" applyNumberFormat="1" applyFont="1" applyFill="1" applyBorder="1" applyAlignment="1">
      <alignment horizontal="left"/>
    </xf>
    <xf numFmtId="0" fontId="6" fillId="14" borderId="1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O's/NEWEXCEL.xlsx" TargetMode="External"/><Relationship Id="rId2" Type="http://schemas.openxmlformats.org/officeDocument/2006/relationships/externalLinkPath" Target="/Users/mohamedarshad/Desktop/CO's/NEWEXCEL.xlsx" TargetMode="External"/><Relationship Id="rId1" Type="http://schemas.openxmlformats.org/officeDocument/2006/relationships/externalLinkPath" Target="/Users/mohamedarshad/Desktop/CO's/NEW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URSE ASSESSMENT"/>
      <sheetName val="STUDENT NAMELIST"/>
      <sheetName val="INTERNAL - I"/>
      <sheetName val="INTERNAL - II "/>
      <sheetName val="CO's Attainment"/>
      <sheetName val="UNIT TEST"/>
      <sheetName val="Assingment Attainment"/>
      <sheetName val="Direct Attainment"/>
      <sheetName val="UNIVERSITY EXAM"/>
      <sheetName val="CO ATTAINMENT GAP"/>
      <sheetName val="PO ATTAINMENT "/>
      <sheetName val="New Internal - II"/>
      <sheetName val="Sheet1"/>
    </sheetNames>
    <sheetDataSet>
      <sheetData sheetId="0"/>
      <sheetData sheetId="1">
        <row r="2">
          <cell r="B2"/>
          <cell r="C2"/>
          <cell r="D2"/>
        </row>
        <row r="3">
          <cell r="B3" t="str">
            <v>REG.NO</v>
          </cell>
          <cell r="C3" t="str">
            <v>ROLL.NO</v>
          </cell>
          <cell r="D3" t="str">
            <v>STUDENT NAME</v>
          </cell>
        </row>
        <row r="4">
          <cell r="B4"/>
          <cell r="C4"/>
          <cell r="D4"/>
        </row>
        <row r="5">
          <cell r="B5" t="str">
            <v>2023PEC AI 541</v>
          </cell>
          <cell r="C5">
            <v>211423243001</v>
          </cell>
          <cell r="D5" t="str">
            <v>AATHISUDHAN A</v>
          </cell>
        </row>
        <row r="6">
          <cell r="B6" t="str">
            <v>2023PEC AI 542</v>
          </cell>
          <cell r="C6">
            <v>211423243002</v>
          </cell>
          <cell r="D6" t="str">
            <v>ABESHEK SRIRAMN</v>
          </cell>
        </row>
        <row r="7">
          <cell r="B7" t="str">
            <v>2023PEC AI 101</v>
          </cell>
          <cell r="C7">
            <v>211423243003</v>
          </cell>
          <cell r="D7" t="str">
            <v>ABINAYA M</v>
          </cell>
        </row>
        <row r="8">
          <cell r="B8" t="str">
            <v>2023PEC AI 543</v>
          </cell>
          <cell r="C8">
            <v>211423243004</v>
          </cell>
          <cell r="D8" t="str">
            <v>ABINESH KUMAR T</v>
          </cell>
        </row>
        <row r="9">
          <cell r="B9" t="str">
            <v>2023PEC AI 102</v>
          </cell>
          <cell r="C9">
            <v>211423243005</v>
          </cell>
          <cell r="D9" t="str">
            <v>ABIRAMI A</v>
          </cell>
        </row>
        <row r="10">
          <cell r="B10" t="str">
            <v>2023PEC AI 103</v>
          </cell>
          <cell r="C10">
            <v>211423243006</v>
          </cell>
          <cell r="D10" t="str">
            <v>ABIRAMI G</v>
          </cell>
        </row>
        <row r="11">
          <cell r="B11" t="str">
            <v>2023PEC AI 544</v>
          </cell>
          <cell r="C11">
            <v>211423243007</v>
          </cell>
          <cell r="D11" t="str">
            <v>ABISHAI SINGH J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58DB7-B3F6-AB4B-B5E0-C4A2E84A7CDF}">
  <dimension ref="A1:Z23"/>
  <sheetViews>
    <sheetView tabSelected="1" zoomScale="81" workbookViewId="0">
      <selection activeCell="O33" sqref="O33"/>
    </sheetView>
  </sheetViews>
  <sheetFormatPr baseColWidth="10" defaultRowHeight="16" x14ac:dyDescent="0.2"/>
  <cols>
    <col min="1" max="1" width="24" customWidth="1"/>
    <col min="2" max="2" width="39.1640625" customWidth="1"/>
    <col min="3" max="3" width="27.6640625" customWidth="1"/>
    <col min="4" max="4" width="74.6640625" customWidth="1"/>
  </cols>
  <sheetData>
    <row r="1" spans="1:26" ht="17" customHeight="1" thickBot="1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7"/>
      <c r="Z1" s="7"/>
    </row>
    <row r="2" spans="1:26" ht="19" customHeight="1" thickBot="1" x14ac:dyDescent="0.25">
      <c r="A2" s="8"/>
      <c r="B2" s="9"/>
      <c r="C2" s="10"/>
      <c r="D2" s="11"/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12" t="s">
        <v>15</v>
      </c>
      <c r="P2" s="13"/>
      <c r="Q2" s="12" t="s">
        <v>16</v>
      </c>
      <c r="R2" s="13"/>
      <c r="S2" s="12" t="s">
        <v>17</v>
      </c>
      <c r="T2" s="13"/>
      <c r="U2" s="3" t="s">
        <v>18</v>
      </c>
      <c r="V2" s="14"/>
      <c r="W2" s="12" t="s">
        <v>19</v>
      </c>
      <c r="X2" s="13"/>
      <c r="Y2" s="15" t="s">
        <v>20</v>
      </c>
      <c r="Z2" s="15"/>
    </row>
    <row r="3" spans="1:26" ht="17" thickBot="1" x14ac:dyDescent="0.25">
      <c r="A3" s="8"/>
      <c r="B3" s="9"/>
      <c r="C3" s="10"/>
      <c r="D3" s="11"/>
      <c r="E3" s="15"/>
      <c r="F3" s="15"/>
      <c r="G3" s="15"/>
      <c r="H3" s="15"/>
      <c r="I3" s="15"/>
      <c r="J3" s="15"/>
      <c r="K3" s="15"/>
      <c r="L3" s="15"/>
      <c r="M3" s="15"/>
      <c r="N3" s="15"/>
      <c r="O3" s="16"/>
      <c r="P3" s="17"/>
      <c r="Q3" s="16"/>
      <c r="R3" s="17"/>
      <c r="S3" s="16"/>
      <c r="T3" s="17"/>
      <c r="U3" s="14"/>
      <c r="V3" s="14"/>
      <c r="W3" s="16"/>
      <c r="X3" s="17"/>
      <c r="Y3" s="15"/>
      <c r="Z3" s="15"/>
    </row>
    <row r="4" spans="1:26" ht="19" thickBot="1" x14ac:dyDescent="0.25">
      <c r="A4" s="8"/>
      <c r="B4" s="9"/>
      <c r="C4" s="10"/>
      <c r="D4" s="11"/>
      <c r="E4" s="15"/>
      <c r="F4" s="15"/>
      <c r="G4" s="15"/>
      <c r="H4" s="15"/>
      <c r="I4" s="15"/>
      <c r="J4" s="15"/>
      <c r="K4" s="15"/>
      <c r="L4" s="15"/>
      <c r="M4" s="15"/>
      <c r="N4" s="15"/>
      <c r="O4" s="18" t="s">
        <v>21</v>
      </c>
      <c r="P4" s="19" t="s">
        <v>22</v>
      </c>
      <c r="Q4" s="19" t="s">
        <v>23</v>
      </c>
      <c r="R4" s="19" t="s">
        <v>24</v>
      </c>
      <c r="S4" s="19" t="s">
        <v>25</v>
      </c>
      <c r="T4" s="19" t="s">
        <v>26</v>
      </c>
      <c r="U4" s="19" t="s">
        <v>27</v>
      </c>
      <c r="V4" s="19" t="s">
        <v>28</v>
      </c>
      <c r="W4" s="19" t="s">
        <v>29</v>
      </c>
      <c r="X4" s="19" t="s">
        <v>30</v>
      </c>
      <c r="Y4" s="19" t="s">
        <v>31</v>
      </c>
      <c r="Z4" s="20" t="s">
        <v>32</v>
      </c>
    </row>
    <row r="5" spans="1:26" ht="19" thickBot="1" x14ac:dyDescent="0.25">
      <c r="A5" s="8"/>
      <c r="B5" s="9"/>
      <c r="C5" s="10"/>
      <c r="D5" s="21" t="s">
        <v>33</v>
      </c>
      <c r="E5" s="22">
        <v>2</v>
      </c>
      <c r="F5" s="22">
        <v>2</v>
      </c>
      <c r="G5" s="22">
        <v>2</v>
      </c>
      <c r="H5" s="22">
        <v>2</v>
      </c>
      <c r="I5" s="22">
        <v>2</v>
      </c>
      <c r="J5" s="22">
        <v>2</v>
      </c>
      <c r="K5" s="22">
        <v>2</v>
      </c>
      <c r="L5" s="22">
        <v>2</v>
      </c>
      <c r="M5" s="22">
        <v>2</v>
      </c>
      <c r="N5" s="22">
        <v>2</v>
      </c>
      <c r="O5" s="22">
        <v>13</v>
      </c>
      <c r="P5" s="22">
        <v>13</v>
      </c>
      <c r="Q5" s="22">
        <v>13</v>
      </c>
      <c r="R5" s="22">
        <v>13</v>
      </c>
      <c r="S5" s="22">
        <v>13</v>
      </c>
      <c r="T5" s="22">
        <v>13</v>
      </c>
      <c r="U5" s="22">
        <v>13</v>
      </c>
      <c r="V5" s="22">
        <v>13</v>
      </c>
      <c r="W5" s="22">
        <v>13</v>
      </c>
      <c r="X5" s="22">
        <v>13</v>
      </c>
      <c r="Y5" s="22">
        <v>15</v>
      </c>
      <c r="Z5" s="22">
        <v>15</v>
      </c>
    </row>
    <row r="6" spans="1:26" ht="19" thickBot="1" x14ac:dyDescent="0.25">
      <c r="A6" s="8"/>
      <c r="B6" s="9"/>
      <c r="C6" s="10"/>
      <c r="D6" s="23" t="s">
        <v>34</v>
      </c>
      <c r="E6" s="24"/>
      <c r="F6" s="24"/>
      <c r="G6" s="24"/>
      <c r="H6" s="24"/>
      <c r="I6" s="24"/>
      <c r="J6" s="24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9" thickBot="1" x14ac:dyDescent="0.25">
      <c r="A7" s="8"/>
      <c r="B7" s="9"/>
      <c r="C7" s="10"/>
      <c r="D7" s="26" t="s">
        <v>35</v>
      </c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8" x14ac:dyDescent="0.2">
      <c r="A8" s="27"/>
      <c r="B8" s="28"/>
      <c r="C8" s="29"/>
      <c r="D8" s="30"/>
      <c r="E8" s="31"/>
      <c r="F8" s="31"/>
      <c r="G8" s="31"/>
      <c r="H8" s="31"/>
      <c r="I8" s="31"/>
      <c r="J8" s="31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8" x14ac:dyDescent="0.2">
      <c r="A9" s="32">
        <v>1</v>
      </c>
      <c r="B9" s="33" t="e">
        <f>'[1]STUDENT NAMELIST'!#REF!</f>
        <v>#REF!</v>
      </c>
      <c r="C9" s="33" t="e">
        <f>'[1]STUDENT NAMELIST'!#REF!</f>
        <v>#REF!</v>
      </c>
      <c r="D9" s="34" t="e">
        <f>'[1]STUDENT NAMELIST'!#REF!</f>
        <v>#REF!</v>
      </c>
      <c r="E9" s="35">
        <v>2</v>
      </c>
      <c r="F9" s="35">
        <v>2</v>
      </c>
      <c r="G9" s="35">
        <v>2</v>
      </c>
      <c r="H9" s="35">
        <v>2</v>
      </c>
      <c r="I9" s="35">
        <v>2</v>
      </c>
      <c r="J9" s="35">
        <v>2</v>
      </c>
      <c r="K9" s="35">
        <v>2</v>
      </c>
      <c r="L9" s="35">
        <v>2</v>
      </c>
      <c r="M9" s="35">
        <v>2</v>
      </c>
      <c r="N9" s="35">
        <v>0</v>
      </c>
      <c r="O9" s="35">
        <v>13</v>
      </c>
      <c r="P9" s="35">
        <v>0</v>
      </c>
      <c r="Q9" s="35">
        <v>0</v>
      </c>
      <c r="R9" s="35">
        <v>13</v>
      </c>
      <c r="S9" s="35">
        <v>11</v>
      </c>
      <c r="T9" s="35">
        <v>0</v>
      </c>
      <c r="U9" s="35">
        <v>13</v>
      </c>
      <c r="V9" s="35">
        <v>0</v>
      </c>
      <c r="W9" s="35">
        <v>0</v>
      </c>
      <c r="X9" s="35">
        <v>8</v>
      </c>
      <c r="Y9" s="35">
        <v>14</v>
      </c>
      <c r="Z9" s="35">
        <v>0</v>
      </c>
    </row>
    <row r="10" spans="1:26" ht="18" x14ac:dyDescent="0.2">
      <c r="A10" s="32">
        <v>2</v>
      </c>
      <c r="B10" s="33" t="e">
        <f>'[1]STUDENT NAMELIST'!#REF!</f>
        <v>#REF!</v>
      </c>
      <c r="C10" s="33" t="e">
        <f>'[1]STUDENT NAMELIST'!#REF!</f>
        <v>#REF!</v>
      </c>
      <c r="D10" s="34" t="e">
        <f>'[1]STUDENT NAMELIST'!#REF!</f>
        <v>#REF!</v>
      </c>
      <c r="E10" s="35">
        <v>2</v>
      </c>
      <c r="F10" s="35">
        <v>2</v>
      </c>
      <c r="G10" s="35">
        <v>2</v>
      </c>
      <c r="H10" s="35">
        <v>2</v>
      </c>
      <c r="I10" s="35">
        <v>2</v>
      </c>
      <c r="J10" s="35">
        <v>2</v>
      </c>
      <c r="K10" s="35">
        <v>2</v>
      </c>
      <c r="L10" s="35">
        <v>0</v>
      </c>
      <c r="M10" s="35">
        <v>0</v>
      </c>
      <c r="N10" s="35">
        <v>0</v>
      </c>
      <c r="O10" s="35">
        <v>0</v>
      </c>
      <c r="P10" s="35">
        <v>10</v>
      </c>
      <c r="Q10" s="35">
        <v>10</v>
      </c>
      <c r="R10" s="35">
        <v>0</v>
      </c>
      <c r="S10" s="35">
        <v>0</v>
      </c>
      <c r="T10" s="35">
        <v>10</v>
      </c>
      <c r="U10" s="35">
        <v>0</v>
      </c>
      <c r="V10" s="35">
        <v>10</v>
      </c>
      <c r="W10" s="35">
        <v>5</v>
      </c>
      <c r="X10" s="35">
        <v>0</v>
      </c>
      <c r="Y10" s="35">
        <v>0</v>
      </c>
      <c r="Z10" s="35">
        <v>11</v>
      </c>
    </row>
    <row r="11" spans="1:26" ht="18" x14ac:dyDescent="0.2">
      <c r="A11" s="32">
        <v>3</v>
      </c>
      <c r="B11" s="33" t="e">
        <f>'[1]STUDENT NAMELIST'!#REF!</f>
        <v>#REF!</v>
      </c>
      <c r="C11" s="33" t="e">
        <f>'[1]STUDENT NAMELIST'!#REF!</f>
        <v>#REF!</v>
      </c>
      <c r="D11" s="34" t="e">
        <f>'[1]STUDENT NAMELIST'!#REF!</f>
        <v>#REF!</v>
      </c>
      <c r="E11" s="35">
        <v>2</v>
      </c>
      <c r="F11" s="35">
        <v>2</v>
      </c>
      <c r="G11" s="35">
        <v>2</v>
      </c>
      <c r="H11" s="35">
        <v>2</v>
      </c>
      <c r="I11" s="35">
        <v>2</v>
      </c>
      <c r="J11" s="35">
        <v>2</v>
      </c>
      <c r="K11" s="35">
        <v>2</v>
      </c>
      <c r="L11" s="35">
        <v>2</v>
      </c>
      <c r="M11" s="35">
        <v>1</v>
      </c>
      <c r="N11" s="35">
        <v>0</v>
      </c>
      <c r="O11" s="35">
        <v>12</v>
      </c>
      <c r="P11" s="35">
        <v>0</v>
      </c>
      <c r="Q11" s="35">
        <v>0</v>
      </c>
      <c r="R11" s="35">
        <v>12</v>
      </c>
      <c r="S11" s="35">
        <v>11</v>
      </c>
      <c r="T11" s="35">
        <v>0</v>
      </c>
      <c r="U11" s="35">
        <v>12</v>
      </c>
      <c r="V11" s="35">
        <v>0</v>
      </c>
      <c r="W11" s="35">
        <v>0</v>
      </c>
      <c r="X11" s="35">
        <v>8</v>
      </c>
      <c r="Y11" s="35">
        <v>13</v>
      </c>
      <c r="Z11" s="35">
        <v>0</v>
      </c>
    </row>
    <row r="12" spans="1:26" ht="18" x14ac:dyDescent="0.2">
      <c r="A12" s="32">
        <v>4</v>
      </c>
      <c r="B12" s="33" t="e">
        <f>'[1]STUDENT NAMELIST'!#REF!</f>
        <v>#REF!</v>
      </c>
      <c r="C12" s="33" t="e">
        <f>'[1]STUDENT NAMELIST'!#REF!</f>
        <v>#REF!</v>
      </c>
      <c r="D12" s="34" t="e">
        <f>'[1]STUDENT NAMELIST'!#REF!</f>
        <v>#REF!</v>
      </c>
      <c r="E12" s="35">
        <v>2</v>
      </c>
      <c r="F12" s="35">
        <v>2</v>
      </c>
      <c r="G12" s="35">
        <v>2</v>
      </c>
      <c r="H12" s="35">
        <v>2</v>
      </c>
      <c r="I12" s="35">
        <v>2</v>
      </c>
      <c r="J12" s="35">
        <v>2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8</v>
      </c>
      <c r="Q12" s="35">
        <v>9</v>
      </c>
      <c r="R12" s="35">
        <v>0</v>
      </c>
      <c r="S12" s="35">
        <v>0</v>
      </c>
      <c r="T12" s="35">
        <v>9</v>
      </c>
      <c r="U12" s="35">
        <v>0</v>
      </c>
      <c r="V12" s="35">
        <v>9</v>
      </c>
      <c r="W12" s="35">
        <v>4</v>
      </c>
      <c r="X12" s="35">
        <v>0</v>
      </c>
      <c r="Y12" s="35">
        <v>0</v>
      </c>
      <c r="Z12" s="35">
        <v>9</v>
      </c>
    </row>
    <row r="13" spans="1:26" ht="18" x14ac:dyDescent="0.2">
      <c r="A13" s="32">
        <v>5</v>
      </c>
      <c r="B13" s="33">
        <f>'[1]STUDENT NAMELIST'!B1</f>
        <v>0</v>
      </c>
      <c r="C13" s="33">
        <f>'[1]STUDENT NAMELIST'!C1</f>
        <v>0</v>
      </c>
      <c r="D13" s="34">
        <f>'[1]STUDENT NAMELIST'!D1</f>
        <v>0</v>
      </c>
      <c r="E13" s="35">
        <v>2</v>
      </c>
      <c r="F13" s="35">
        <v>2</v>
      </c>
      <c r="G13" s="35">
        <v>2</v>
      </c>
      <c r="H13" s="35">
        <v>2</v>
      </c>
      <c r="I13" s="35">
        <v>2</v>
      </c>
      <c r="J13" s="35">
        <v>2</v>
      </c>
      <c r="K13" s="35">
        <v>2</v>
      </c>
      <c r="L13" s="35">
        <v>2</v>
      </c>
      <c r="M13" s="35">
        <v>2</v>
      </c>
      <c r="N13" s="35">
        <v>1</v>
      </c>
      <c r="O13" s="35">
        <v>13</v>
      </c>
      <c r="P13" s="35">
        <v>0</v>
      </c>
      <c r="Q13" s="35">
        <v>0</v>
      </c>
      <c r="R13" s="35">
        <v>13</v>
      </c>
      <c r="S13" s="35">
        <v>12</v>
      </c>
      <c r="T13" s="35">
        <v>0</v>
      </c>
      <c r="U13" s="35">
        <v>13</v>
      </c>
      <c r="V13" s="35">
        <v>0</v>
      </c>
      <c r="W13" s="35">
        <v>0</v>
      </c>
      <c r="X13" s="35">
        <v>11</v>
      </c>
      <c r="Y13" s="35">
        <v>14</v>
      </c>
      <c r="Z13" s="35">
        <v>0</v>
      </c>
    </row>
    <row r="14" spans="1:26" ht="18" x14ac:dyDescent="0.2">
      <c r="A14" s="32">
        <v>6</v>
      </c>
      <c r="B14" s="33">
        <f>'[1]STUDENT NAMELIST'!B2</f>
        <v>0</v>
      </c>
      <c r="C14" s="33">
        <f>'[1]STUDENT NAMELIST'!C2</f>
        <v>0</v>
      </c>
      <c r="D14" s="34">
        <f>'[1]STUDENT NAMELIST'!D2</f>
        <v>0</v>
      </c>
      <c r="E14" s="35">
        <v>2</v>
      </c>
      <c r="F14" s="35">
        <v>2</v>
      </c>
      <c r="G14" s="35">
        <v>2</v>
      </c>
      <c r="H14" s="35">
        <v>2</v>
      </c>
      <c r="I14" s="35">
        <v>2</v>
      </c>
      <c r="J14" s="35">
        <v>2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9</v>
      </c>
      <c r="Q14" s="35">
        <v>9</v>
      </c>
      <c r="R14" s="35">
        <v>0</v>
      </c>
      <c r="S14" s="35">
        <v>0</v>
      </c>
      <c r="T14" s="35">
        <v>9</v>
      </c>
      <c r="U14" s="35">
        <v>0</v>
      </c>
      <c r="V14" s="35">
        <v>9</v>
      </c>
      <c r="W14" s="35">
        <v>5</v>
      </c>
      <c r="X14" s="35">
        <v>0</v>
      </c>
      <c r="Y14" s="35">
        <v>0</v>
      </c>
      <c r="Z14" s="35">
        <v>9</v>
      </c>
    </row>
    <row r="15" spans="1:26" ht="18" x14ac:dyDescent="0.2">
      <c r="A15" s="32">
        <v>7</v>
      </c>
      <c r="B15" s="33" t="str">
        <f>'[1]STUDENT NAMELIST'!B3</f>
        <v>REG.NO</v>
      </c>
      <c r="C15" s="33" t="str">
        <f>'[1]STUDENT NAMELIST'!C3</f>
        <v>ROLL.NO</v>
      </c>
      <c r="D15" s="34" t="str">
        <f>'[1]STUDENT NAMELIST'!D3</f>
        <v>STUDENT NAME</v>
      </c>
      <c r="E15" s="35">
        <v>2</v>
      </c>
      <c r="F15" s="35">
        <v>2</v>
      </c>
      <c r="G15" s="35">
        <v>2</v>
      </c>
      <c r="H15" s="35">
        <v>2</v>
      </c>
      <c r="I15" s="35">
        <v>2</v>
      </c>
      <c r="J15" s="35">
        <v>1</v>
      </c>
      <c r="K15" s="35">
        <v>0</v>
      </c>
      <c r="L15" s="35">
        <v>0</v>
      </c>
      <c r="M15" s="35">
        <v>0</v>
      </c>
      <c r="N15" s="35">
        <v>0</v>
      </c>
      <c r="O15" s="35">
        <v>8</v>
      </c>
      <c r="P15" s="35">
        <v>0</v>
      </c>
      <c r="Q15" s="35">
        <v>0</v>
      </c>
      <c r="R15" s="35">
        <v>8</v>
      </c>
      <c r="S15" s="35">
        <v>7</v>
      </c>
      <c r="T15" s="35">
        <v>0</v>
      </c>
      <c r="U15" s="35">
        <v>8</v>
      </c>
      <c r="V15" s="35">
        <v>0</v>
      </c>
      <c r="W15" s="35">
        <v>0</v>
      </c>
      <c r="X15" s="35">
        <v>6</v>
      </c>
      <c r="Y15" s="35">
        <v>8</v>
      </c>
      <c r="Z15" s="35">
        <v>0</v>
      </c>
    </row>
    <row r="16" spans="1:26" ht="18" x14ac:dyDescent="0.2">
      <c r="A16" s="32">
        <v>8</v>
      </c>
      <c r="B16" s="33">
        <f>'[1]STUDENT NAMELIST'!B4</f>
        <v>0</v>
      </c>
      <c r="C16" s="33">
        <f>'[1]STUDENT NAMELIST'!C4</f>
        <v>0</v>
      </c>
      <c r="D16" s="34">
        <f>'[1]STUDENT NAMELIST'!D4</f>
        <v>0</v>
      </c>
      <c r="E16" s="35">
        <v>2</v>
      </c>
      <c r="F16" s="35">
        <v>2</v>
      </c>
      <c r="G16" s="35">
        <v>2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4</v>
      </c>
      <c r="Q16" s="35">
        <v>5</v>
      </c>
      <c r="R16" s="35">
        <v>0</v>
      </c>
      <c r="S16" s="35">
        <v>0</v>
      </c>
      <c r="T16" s="35">
        <v>5</v>
      </c>
      <c r="U16" s="35">
        <v>0</v>
      </c>
      <c r="V16" s="35">
        <v>5</v>
      </c>
      <c r="W16" s="35">
        <v>0</v>
      </c>
      <c r="X16" s="35">
        <v>0</v>
      </c>
      <c r="Y16" s="35">
        <v>0</v>
      </c>
      <c r="Z16" s="35">
        <v>5</v>
      </c>
    </row>
    <row r="17" spans="1:26" ht="18" x14ac:dyDescent="0.2">
      <c r="A17" s="32">
        <v>9</v>
      </c>
      <c r="B17" s="33" t="str">
        <f>'[1]STUDENT NAMELIST'!B5</f>
        <v>2023PEC AI 541</v>
      </c>
      <c r="C17" s="33">
        <f>'[1]STUDENT NAMELIST'!C5</f>
        <v>211423243001</v>
      </c>
      <c r="D17" s="34" t="str">
        <f>'[1]STUDENT NAMELIST'!D5</f>
        <v>AATHISUDHAN A</v>
      </c>
      <c r="E17" s="35">
        <v>2</v>
      </c>
      <c r="F17" s="35">
        <v>2</v>
      </c>
      <c r="G17" s="35">
        <v>2</v>
      </c>
      <c r="H17" s="35">
        <v>2</v>
      </c>
      <c r="I17" s="35">
        <v>2</v>
      </c>
      <c r="J17" s="35">
        <v>2</v>
      </c>
      <c r="K17" s="35">
        <v>2</v>
      </c>
      <c r="L17" s="35">
        <v>2</v>
      </c>
      <c r="M17" s="35">
        <v>2</v>
      </c>
      <c r="N17" s="35">
        <v>1</v>
      </c>
      <c r="O17" s="35">
        <v>13</v>
      </c>
      <c r="P17" s="35">
        <v>0</v>
      </c>
      <c r="Q17" s="35">
        <v>0</v>
      </c>
      <c r="R17" s="35">
        <v>13</v>
      </c>
      <c r="S17" s="35">
        <v>12</v>
      </c>
      <c r="T17" s="35">
        <v>0</v>
      </c>
      <c r="U17" s="35">
        <v>13</v>
      </c>
      <c r="V17" s="35">
        <v>0</v>
      </c>
      <c r="W17" s="35">
        <v>0</v>
      </c>
      <c r="X17" s="35">
        <v>9</v>
      </c>
      <c r="Y17" s="35">
        <v>14</v>
      </c>
      <c r="Z17" s="35">
        <v>0</v>
      </c>
    </row>
    <row r="18" spans="1:26" ht="18" x14ac:dyDescent="0.2">
      <c r="A18" s="32">
        <v>10</v>
      </c>
      <c r="B18" s="33" t="str">
        <f>'[1]STUDENT NAMELIST'!B6</f>
        <v>2023PEC AI 542</v>
      </c>
      <c r="C18" s="33">
        <f>'[1]STUDENT NAMELIST'!C6</f>
        <v>211423243002</v>
      </c>
      <c r="D18" s="34" t="str">
        <f>'[1]STUDENT NAMELIST'!D6</f>
        <v>ABESHEK SRIRAMN</v>
      </c>
      <c r="E18" s="35">
        <v>2</v>
      </c>
      <c r="F18" s="35">
        <v>2</v>
      </c>
      <c r="G18" s="35">
        <v>2</v>
      </c>
      <c r="H18" s="35">
        <v>2</v>
      </c>
      <c r="I18" s="35">
        <v>2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7</v>
      </c>
      <c r="Q18" s="35">
        <v>7</v>
      </c>
      <c r="R18" s="35">
        <v>0</v>
      </c>
      <c r="S18" s="35">
        <v>0</v>
      </c>
      <c r="T18" s="35">
        <v>7</v>
      </c>
      <c r="U18" s="35">
        <v>0</v>
      </c>
      <c r="V18" s="35">
        <v>7</v>
      </c>
      <c r="W18" s="35">
        <v>4</v>
      </c>
      <c r="X18" s="35">
        <v>0</v>
      </c>
      <c r="Y18" s="35">
        <v>0</v>
      </c>
      <c r="Z18" s="35">
        <v>8</v>
      </c>
    </row>
    <row r="19" spans="1:26" ht="18" x14ac:dyDescent="0.2">
      <c r="A19" s="32">
        <v>11</v>
      </c>
      <c r="B19" s="33" t="str">
        <f>'[1]STUDENT NAMELIST'!B7</f>
        <v>2023PEC AI 101</v>
      </c>
      <c r="C19" s="33">
        <f>'[1]STUDENT NAMELIST'!C7</f>
        <v>211423243003</v>
      </c>
      <c r="D19" s="34" t="str">
        <f>'[1]STUDENT NAMELIST'!D7</f>
        <v>ABINAYA M</v>
      </c>
      <c r="E19" s="35">
        <v>2</v>
      </c>
      <c r="F19" s="35">
        <v>2</v>
      </c>
      <c r="G19" s="35">
        <v>2</v>
      </c>
      <c r="H19" s="35">
        <v>2</v>
      </c>
      <c r="I19" s="35">
        <v>2</v>
      </c>
      <c r="J19" s="35">
        <v>2</v>
      </c>
      <c r="K19" s="35">
        <v>2</v>
      </c>
      <c r="L19" s="35">
        <v>1</v>
      </c>
      <c r="M19" s="35">
        <v>0</v>
      </c>
      <c r="N19" s="35">
        <v>0</v>
      </c>
      <c r="O19" s="35">
        <v>11</v>
      </c>
      <c r="P19" s="35">
        <v>0</v>
      </c>
      <c r="Q19" s="35">
        <v>0</v>
      </c>
      <c r="R19" s="35">
        <v>11</v>
      </c>
      <c r="S19" s="35">
        <v>9</v>
      </c>
      <c r="T19" s="35">
        <v>0</v>
      </c>
      <c r="U19" s="35">
        <v>11</v>
      </c>
      <c r="V19" s="35">
        <v>0</v>
      </c>
      <c r="W19" s="35">
        <v>0</v>
      </c>
      <c r="X19" s="35">
        <v>7</v>
      </c>
      <c r="Y19" s="35">
        <v>11</v>
      </c>
      <c r="Z19" s="35">
        <v>0</v>
      </c>
    </row>
    <row r="20" spans="1:26" ht="18" x14ac:dyDescent="0.2">
      <c r="A20" s="32">
        <v>12</v>
      </c>
      <c r="B20" s="33" t="str">
        <f>'[1]STUDENT NAMELIST'!B8</f>
        <v>2023PEC AI 543</v>
      </c>
      <c r="C20" s="33">
        <f>'[1]STUDENT NAMELIST'!C8</f>
        <v>211423243004</v>
      </c>
      <c r="D20" s="34" t="str">
        <f>'[1]STUDENT NAMELIST'!D8</f>
        <v>ABINESH KUMAR T</v>
      </c>
      <c r="E20" s="35">
        <v>2</v>
      </c>
      <c r="F20" s="35">
        <v>2</v>
      </c>
      <c r="G20" s="35">
        <v>2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4</v>
      </c>
      <c r="Q20" s="35">
        <v>5</v>
      </c>
      <c r="R20" s="35">
        <v>0</v>
      </c>
      <c r="S20" s="35">
        <v>0</v>
      </c>
      <c r="T20" s="35">
        <v>5</v>
      </c>
      <c r="U20" s="35">
        <v>0</v>
      </c>
      <c r="V20" s="35">
        <v>5</v>
      </c>
      <c r="W20" s="35">
        <v>0</v>
      </c>
      <c r="X20" s="35">
        <v>0</v>
      </c>
      <c r="Y20" s="35">
        <v>0</v>
      </c>
      <c r="Z20" s="35">
        <v>5</v>
      </c>
    </row>
    <row r="21" spans="1:26" ht="18" x14ac:dyDescent="0.2">
      <c r="A21" s="32">
        <v>13</v>
      </c>
      <c r="B21" s="33" t="str">
        <f>'[1]STUDENT NAMELIST'!B9</f>
        <v>2023PEC AI 102</v>
      </c>
      <c r="C21" s="33">
        <f>'[1]STUDENT NAMELIST'!C9</f>
        <v>211423243005</v>
      </c>
      <c r="D21" s="34" t="str">
        <f>'[1]STUDENT NAMELIST'!D9</f>
        <v>ABIRAMI A</v>
      </c>
      <c r="E21" s="35">
        <v>2</v>
      </c>
      <c r="F21" s="35">
        <v>2</v>
      </c>
      <c r="G21" s="35">
        <v>2</v>
      </c>
      <c r="H21" s="35">
        <v>2</v>
      </c>
      <c r="I21" s="35">
        <v>2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8</v>
      </c>
      <c r="P21" s="35">
        <v>0</v>
      </c>
      <c r="Q21" s="35">
        <v>0</v>
      </c>
      <c r="R21" s="35">
        <v>8</v>
      </c>
      <c r="S21" s="35">
        <v>7</v>
      </c>
      <c r="T21" s="35">
        <v>0</v>
      </c>
      <c r="U21" s="35">
        <v>8</v>
      </c>
      <c r="V21" s="35">
        <v>0</v>
      </c>
      <c r="W21" s="35">
        <v>0</v>
      </c>
      <c r="X21" s="35">
        <v>2</v>
      </c>
      <c r="Y21" s="35">
        <v>8</v>
      </c>
      <c r="Z21" s="35">
        <v>0</v>
      </c>
    </row>
    <row r="22" spans="1:26" ht="18" x14ac:dyDescent="0.2">
      <c r="A22" s="32">
        <v>14</v>
      </c>
      <c r="B22" s="33" t="str">
        <f>'[1]STUDENT NAMELIST'!B10</f>
        <v>2023PEC AI 103</v>
      </c>
      <c r="C22" s="33">
        <f>'[1]STUDENT NAMELIST'!C10</f>
        <v>211423243006</v>
      </c>
      <c r="D22" s="34" t="str">
        <f>'[1]STUDENT NAMELIST'!D10</f>
        <v>ABIRAMI G</v>
      </c>
      <c r="E22" s="36">
        <v>2</v>
      </c>
      <c r="F22" s="36">
        <v>2</v>
      </c>
      <c r="G22" s="36">
        <v>2</v>
      </c>
      <c r="H22" s="36">
        <v>2</v>
      </c>
      <c r="I22" s="36">
        <v>2</v>
      </c>
      <c r="J22" s="36">
        <v>2</v>
      </c>
      <c r="K22" s="36">
        <v>2</v>
      </c>
      <c r="L22" s="36">
        <v>2</v>
      </c>
      <c r="M22" s="36">
        <v>2</v>
      </c>
      <c r="N22" s="36">
        <v>1</v>
      </c>
      <c r="O22" s="36">
        <v>0</v>
      </c>
      <c r="P22" s="35">
        <v>13</v>
      </c>
      <c r="Q22" s="35">
        <v>13</v>
      </c>
      <c r="R22" s="35">
        <v>0</v>
      </c>
      <c r="S22" s="35">
        <v>0</v>
      </c>
      <c r="T22" s="35">
        <v>13</v>
      </c>
      <c r="U22" s="35">
        <v>0</v>
      </c>
      <c r="V22" s="35">
        <v>13</v>
      </c>
      <c r="W22" s="35">
        <v>8</v>
      </c>
      <c r="X22" s="35">
        <v>0</v>
      </c>
      <c r="Y22" s="35">
        <v>0</v>
      </c>
      <c r="Z22" s="35">
        <v>14</v>
      </c>
    </row>
    <row r="23" spans="1:26" ht="18" x14ac:dyDescent="0.2">
      <c r="A23" s="32">
        <v>15</v>
      </c>
      <c r="B23" s="33" t="str">
        <f>'[1]STUDENT NAMELIST'!B11</f>
        <v>2023PEC AI 544</v>
      </c>
      <c r="C23" s="33">
        <f>'[1]STUDENT NAMELIST'!C11</f>
        <v>211423243007</v>
      </c>
      <c r="D23" s="34" t="str">
        <f>'[1]STUDENT NAMELIST'!D11</f>
        <v>ABISHAI SINGH J</v>
      </c>
      <c r="E23" s="36">
        <v>2</v>
      </c>
      <c r="F23" s="36">
        <v>2</v>
      </c>
      <c r="G23" s="36">
        <v>2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5</v>
      </c>
      <c r="P23" s="35">
        <v>0</v>
      </c>
      <c r="Q23" s="35">
        <v>0</v>
      </c>
      <c r="R23" s="35">
        <v>5</v>
      </c>
      <c r="S23" s="35">
        <v>4</v>
      </c>
      <c r="T23" s="35">
        <v>0</v>
      </c>
      <c r="U23" s="35">
        <v>5</v>
      </c>
      <c r="V23" s="35">
        <v>0</v>
      </c>
      <c r="W23" s="35">
        <v>0</v>
      </c>
      <c r="X23" s="35">
        <v>0</v>
      </c>
      <c r="Y23" s="35">
        <v>5</v>
      </c>
      <c r="Z23" s="35">
        <v>0</v>
      </c>
    </row>
  </sheetData>
  <mergeCells count="24">
    <mergeCell ref="W2:X3"/>
    <mergeCell ref="Y2:Z3"/>
    <mergeCell ref="D7:D8"/>
    <mergeCell ref="O1:X1"/>
    <mergeCell ref="Y1:Z1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P3"/>
    <mergeCell ref="Q2:R3"/>
    <mergeCell ref="S2:T3"/>
    <mergeCell ref="U2:V3"/>
    <mergeCell ref="A1:A8"/>
    <mergeCell ref="B1:B8"/>
    <mergeCell ref="C1:C8"/>
    <mergeCell ref="D1:D4"/>
    <mergeCell ref="E1:N1"/>
  </mergeCells>
  <dataValidations count="1">
    <dataValidation type="list" allowBlank="1" showInputMessage="1" showErrorMessage="1" prompt="ERROR - Enter only valid CO's or NA" sqref="E6:N6" xr:uid="{C57B3BD9-6EE0-4D4D-8317-568E3C88C1B6}">
      <formula1>$F$11:$L$11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Praveensankar R S</dc:creator>
  <cp:lastModifiedBy>Praveensankar R S</cp:lastModifiedBy>
  <dcterms:created xsi:type="dcterms:W3CDTF">2026-02-11T12:59:20Z</dcterms:created>
  <dcterms:modified xsi:type="dcterms:W3CDTF">2026-08-21T04:08:43Z</dcterms:modified>
</cp:coreProperties>
</file>